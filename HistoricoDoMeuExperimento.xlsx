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rompts" sheetId="2" state="visible" r:id="rId4"/>
    <sheet name="Acoes" sheetId="3" state="visible" r:id="rId5"/>
    <sheet name="Arquivos" sheetId="4" state="visible" r:id="rId6"/>
    <sheet name="Validacao" sheetId="5" state="visible" r:id="rId7"/>
    <sheet name="Email de exempl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<sst xmlns="http://schemas.openxmlformats.org/spreadsheetml/2006/main" count="408" uniqueCount="268">
  <si>
    <t xml:space="preserve">Histórico do Experimento Prático — Módulo Pedagógico</t>
  </si>
  <si>
    <t xml:space="preserve">Aluno</t>
  </si>
  <si>
    <t xml:space="preserve">Kaíque Souza Bonfim</t>
  </si>
  <si>
    <t xml:space="preserve">E-mail</t>
  </si>
  <si>
    <t xml:space="preserve">ksb3@cin.ufpe.br</t>
  </si>
  <si>
    <t xml:space="preserve">Data</t>
  </si>
  <si>
    <t xml:space="preserve">22/04/2026</t>
  </si>
  <si>
    <t xml:space="preserve">Projeto base</t>
  </si>
  <si>
    <t xml:space="preserve">Education Analytics AI (Clean Architecture TS/Node + React/Vite)</t>
  </si>
  <si>
    <t xml:space="preserve">Abordagem</t>
  </si>
  <si>
    <t xml:space="preserve">Complementar o sistema existente adicionando o módulo pedagógico (Alunos, Turmas, Metas, Avaliações e Notificações por e-mail)</t>
  </si>
  <si>
    <t xml:space="preserve">Objetivo</t>
  </si>
  <si>
    <t xml:space="preserve">Implementar as funcionalidades exigidas pelo Segundo Experimento Prático — cadastro de alunos, turmas, metas e avaliações (MANA/MPA/MA) — mantendo o alto padrão arquitetural do projeto existente (Clean Architecture, TypeScript estrito, Zod, testes Cucumber e node:test). Acrescentar envio real de e-mails diários agregando todas as avaliações por aluno, sem dependências externas em tempo de execução.</t>
  </si>
  <si>
    <t xml:space="preserve">Principais entregas</t>
  </si>
  <si>
    <t xml:space="preserve">Área</t>
  </si>
  <si>
    <t xml:space="preserve">Descrição</t>
  </si>
  <si>
    <t xml:space="preserve">Domínio</t>
  </si>
  <si>
    <t xml:space="preserve">Entidades Student, Class, Goal, Evaluation com validação de CPF brasileiro e value objects imutáveis</t>
  </si>
  <si>
    <t xml:space="preserve">Persistência</t>
  </si>
  <si>
    <t xml:space="preserve">Repositórios JSON com escrita atômica (rename) + serialização por promise-chain para evitar corrida</t>
  </si>
  <si>
    <t xml:space="preserve">Use cases</t>
  </si>
  <si>
    <t xml:space="preserve">CRUD completo + avaliação em lote + geração de digest diário</t>
  </si>
  <si>
    <t xml:space="preserve">SMTP</t>
  </si>
  <si>
    <t xml:space="preserve">Cliente SMTP zero-dependência (net/tls) compatível com STARTTLS, LOGIN/PLAIN</t>
  </si>
  <si>
    <t xml:space="preserve">API</t>
  </si>
  <si>
    <t xml:space="preserve">Rotas /students, /goals, /classes, /evaluations, /email/digest com Zod</t>
  </si>
  <si>
    <t xml:space="preserve">Frontend</t>
  </si>
  <si>
    <t xml:space="preserve">Páginas Alunos, Metas, Turmas e Detalhe da Turma com React Query + React Hook Form</t>
  </si>
  <si>
    <t xml:space="preserve">Testes</t>
  </si>
  <si>
    <t xml:space="preserve">Cucumber (pt) para 4 features + node:test para rotas + smoke test end-to-end</t>
  </si>
  <si>
    <t xml:space="preserve">Docs</t>
  </si>
  <si>
    <t xml:space="preserve">.env.example, README, AGENTS.md atualizados</t>
  </si>
  <si>
    <t xml:space="preserve">Indicadores</t>
  </si>
  <si>
    <t xml:space="preserve">Total de arquivos impactados</t>
  </si>
  <si>
    <t xml:space="preserve">Arquivos criados</t>
  </si>
  <si>
    <t xml:space="preserve">Arquivos modificados</t>
  </si>
  <si>
    <t xml:space="preserve">Features Cucumber (.feature)</t>
  </si>
  <si>
    <t xml:space="preserve">Ações registradas</t>
  </si>
  <si>
    <t xml:space="preserve">Prompts do usuário</t>
  </si>
  <si>
    <t xml:space="preserve">#</t>
  </si>
  <si>
    <t xml:space="preserve">Prompt do usuário</t>
  </si>
  <si>
    <t xml:space="preserve">Intenção principal</t>
  </si>
  <si>
    <t xml:space="preserve">Ação desencadeada</t>
  </si>
  <si>
    <t xml:space="preserve">Mapeie tudo que tem nesse projeto, crie um plano de alterações e implemente todas. Quero que mantenha um alto padrão de boas práticas, ao final, teste todas as features novas, valide se deu tudo certo</t>
  </si>
  <si>
    <t xml:space="preserve">Mapeamento + plano + implementação completa + testes</t>
  </si>
  <si>
    <t xml:space="preserve">Auditoria de arquitetura, criação de plano de alterações e execução ponta-a-ponta</t>
  </si>
  <si>
    <t xml:space="preserve">Complementar o sistema existente (Education Analytics AI) com o módulo pedagógico do 2º Experimento Prático</t>
  </si>
  <si>
    <t xml:space="preserve">Definir abordagem de integração</t>
  </si>
  <si>
    <t xml:space="preserve">Manter camadas Clean Architecture e reutilizar infra (logger, erros, schema loader)</t>
  </si>
  <si>
    <t xml:space="preserve">Gerar HistóricoDoMeuExperimento.xlsx documentando o experimento</t>
  </si>
  <si>
    <t xml:space="preserve">Entregável de auditoria</t>
  </si>
  <si>
    <t xml:space="preserve">Criação deste arquivo com sheets Resumo, Prompts, Ações, Arquivos e Validação</t>
  </si>
  <si>
    <t xml:space="preserve">Quero 100% e-mail real (SMTP de verdade, não mock)</t>
  </si>
  <si>
    <t xml:space="preserve">Requisito funcional crítico</t>
  </si>
  <si>
    <t xml:space="preserve">Cliente SMTP próprio (net/tls) sem dependências externas + digest diário</t>
  </si>
  <si>
    <t xml:space="preserve">Continue from where you left off.</t>
  </si>
  <si>
    <t xml:space="preserve">Retomada após compactação de contexto</t>
  </si>
  <si>
    <t xml:space="preserve">Continuidade da implementação do módulo pedagógico</t>
  </si>
  <si>
    <t xml:space="preserve">continue</t>
  </si>
  <si>
    <t xml:space="preserve">Seguir com a execução</t>
  </si>
  <si>
    <t xml:space="preserve">Execução dos testes de fumaça e validação</t>
  </si>
  <si>
    <t xml:space="preserve">Ordem</t>
  </si>
  <si>
    <t xml:space="preserve">Fase</t>
  </si>
  <si>
    <t xml:space="preserve">Ação executada</t>
  </si>
  <si>
    <t xml:space="preserve">Resultado</t>
  </si>
  <si>
    <t xml:space="preserve">Mapeamento</t>
  </si>
  <si>
    <t xml:space="preserve">Leitura de package.json, tsconfig, estrutura de pastas e scripts</t>
  </si>
  <si>
    <t xml:space="preserve">Arquitetura mapeada: Clean Architecture TS + React/Vite</t>
  </si>
  <si>
    <t xml:space="preserve">Inventário de entidades existentes (Exam) e rotas HTTP</t>
  </si>
  <si>
    <t xml:space="preserve">Base de domínio identificada para reutilização</t>
  </si>
  <si>
    <t xml:space="preserve">Plano</t>
  </si>
  <si>
    <t xml:space="preserve">Desenho das entidades Student, Class, Goal, Evaluation + fila de e-mails</t>
  </si>
  <si>
    <t xml:space="preserve">Plano aprovado de 11 tarefas</t>
  </si>
  <si>
    <t xml:space="preserve">Criação de backend/src/domain/pedagogy/*.ts</t>
  </si>
  <si>
    <t xml:space="preserve">Entidades imutáveis com validação CPF e erros tipados</t>
  </si>
  <si>
    <t xml:space="preserve">Implementação de JsonRepository base + repositórios específicos</t>
  </si>
  <si>
    <t xml:space="preserve">Escrita atômica via rename + serialização por promise-chain</t>
  </si>
  <si>
    <t xml:space="preserve">Casos de uso para CRUD de Student/Goal/Class + register-evaluation</t>
  </si>
  <si>
    <t xml:space="preserve">Validações de integridade referencial</t>
  </si>
  <si>
    <t xml:space="preserve">Cliente SMTP zero-dependência em backend/src/infrastructure/email/smtp-client.ts</t>
  </si>
  <si>
    <t xml:space="preserve">Suporte a STARTTLS, AUTH LOGIN/PLAIN</t>
  </si>
  <si>
    <t xml:space="preserve">EmailDigestService com fila de avaliações e batch diário</t>
  </si>
  <si>
    <t xml:space="preserve">Idempotente: 2ª execução envia 0 e-mails</t>
  </si>
  <si>
    <t xml:space="preserve">Zod schemas, controllers e rotas Express (/students, /goals, /classes, /evaluations, /email/digest)</t>
  </si>
  <si>
    <t xml:space="preserve">Validação consistente via makeSchemaValidator</t>
  </si>
  <si>
    <t xml:space="preserve">API client (frontend/src/api/*.ts) e hooks React Query</t>
  </si>
  <si>
    <t xml:space="preserve">Integração com mesma base URL do exam</t>
  </si>
  <si>
    <t xml:space="preserve">Páginas Alunos, Metas, Turmas e Detalhe da Turma (grid de avaliações)</t>
  </si>
  <si>
    <t xml:space="preserve">CRUD completo + inline save por célula</t>
  </si>
  <si>
    <t xml:space="preserve">Atualização de app-shell.tsx (menu lateral) + routes</t>
  </si>
  <si>
    <t xml:space="preserve">Navegação agrupada em 'Gestão pedagógica'</t>
  </si>
  <si>
    <t xml:space="preserve">Harness reescrito com FixedClock, InMemoryEmailService, JSON dir temp</t>
  </si>
  <si>
    <t xml:space="preserve">Isolamento total entre cenários</t>
  </si>
  <si>
    <t xml:space="preserve">4 features Cucumber em pt (students, classes, evaluations, email-notifications)</t>
  </si>
  <si>
    <t xml:space="preserve">Cobertura BDD dos fluxos críticos</t>
  </si>
  <si>
    <t xml:space="preserve">Route tests em tests/routes/pedagogical-routes.test.ts (node:test)</t>
  </si>
  <si>
    <t xml:space="preserve">CRUD + validação + cascade + idempotência</t>
  </si>
  <si>
    <t xml:space="preserve">Atualização de .env.example, README, AGENTS.md e .gitignore</t>
  </si>
  <si>
    <t xml:space="preserve">Documentação viva do módulo</t>
  </si>
  <si>
    <t xml:space="preserve">Validação</t>
  </si>
  <si>
    <t xml:space="preserve">npx tsc -p tsconfig.build.json --outDir /tmp/ea-dist</t>
  </si>
  <si>
    <t xml:space="preserve">Exit 0 — backend compila limpo</t>
  </si>
  <si>
    <t xml:space="preserve">cd frontend &amp;&amp; npx tsc --noEmit</t>
  </si>
  <si>
    <t xml:space="preserve">Exit 0 — frontend compila limpo</t>
  </si>
  <si>
    <t xml:space="preserve">node /tmp/smoke-out/smoke-pedagogical.js</t>
  </si>
  <si>
    <t xml:space="preserve">ALL GREEN — digest envia 1 e-mail, 2ª execução 0</t>
  </si>
  <si>
    <t xml:space="preserve">smoke-validation.ts (CPF)</t>
  </si>
  <si>
    <t xml:space="preserve">CPF válido aceito, CPF 111.111.111-11 rejeitado</t>
  </si>
  <si>
    <t xml:space="preserve">Entrega</t>
  </si>
  <si>
    <t xml:space="preserve">Gerar HistoricoDoMeuExperimento.xlsx</t>
  </si>
  <si>
    <t xml:space="preserve">Este arquivo</t>
  </si>
  <si>
    <t xml:space="preserve">Camada</t>
  </si>
  <si>
    <t xml:space="preserve">Caminho</t>
  </si>
  <si>
    <t xml:space="preserve">Status</t>
  </si>
  <si>
    <t xml:space="preserve">backend/src/domain/pedagogy/student.ts</t>
  </si>
  <si>
    <t xml:space="preserve">Criado</t>
  </si>
  <si>
    <t xml:space="preserve">Entidade Student imutável com CPF + email</t>
  </si>
  <si>
    <t xml:space="preserve">backend/src/domain/pedagogy/class.ts</t>
  </si>
  <si>
    <t xml:space="preserve">Entidade Class agregando alunos/metas/avaliações</t>
  </si>
  <si>
    <t xml:space="preserve">backend/src/domain/pedagogy/goal.ts</t>
  </si>
  <si>
    <t xml:space="preserve">Entidade Goal (meta pedagógica)</t>
  </si>
  <si>
    <t xml:space="preserve">backend/src/domain/pedagogy/evaluation.ts</t>
  </si>
  <si>
    <t xml:space="preserve">Value object Evaluation com níveis MANA/MPA/MA</t>
  </si>
  <si>
    <t xml:space="preserve">backend/src/domain/pedagogy/cpf.ts</t>
  </si>
  <si>
    <t xml:space="preserve">Validação, sanitização e formatação de CPF</t>
  </si>
  <si>
    <t xml:space="preserve">backend/src/domain/pedagogy/errors.ts</t>
  </si>
  <si>
    <t xml:space="preserve">Erros de domínio tipados</t>
  </si>
  <si>
    <t xml:space="preserve">Infraestrutura</t>
  </si>
  <si>
    <t xml:space="preserve">backend/src/infrastructure/persistence/json-repository.ts</t>
  </si>
  <si>
    <t xml:space="preserve">Base de repositório JSON com rename atômico</t>
  </si>
  <si>
    <t xml:space="preserve">backend/src/infrastructure/persistence/student-json-repository.ts</t>
  </si>
  <si>
    <t xml:space="preserve">Persistência de alunos</t>
  </si>
  <si>
    <t xml:space="preserve">backend/src/infrastructure/persistence/class-json-repository.ts</t>
  </si>
  <si>
    <t xml:space="preserve">Persistência de turmas</t>
  </si>
  <si>
    <t xml:space="preserve">backend/src/infrastructure/persistence/goal-json-repository.ts</t>
  </si>
  <si>
    <t xml:space="preserve">Persistência de metas</t>
  </si>
  <si>
    <t xml:space="preserve">backend/src/infrastructure/email/smtp-client.ts</t>
  </si>
  <si>
    <t xml:space="preserve">Cliente SMTP puro (net/tls)</t>
  </si>
  <si>
    <t xml:space="preserve">backend/src/infrastructure/email/email-service.ts</t>
  </si>
  <si>
    <t xml:space="preserve">Serviço de envio + fila de digest</t>
  </si>
  <si>
    <t xml:space="preserve">backend/src/infrastructure/email/in-memory-email-service.ts</t>
  </si>
  <si>
    <t xml:space="preserve">Fake para testes</t>
  </si>
  <si>
    <t xml:space="preserve">backend/src/infrastructure/clock.ts</t>
  </si>
  <si>
    <t xml:space="preserve">Clock injetável (FixedClock em testes)</t>
  </si>
  <si>
    <t xml:space="preserve">Aplicação</t>
  </si>
  <si>
    <t xml:space="preserve">backend/src/application/students/*.ts</t>
  </si>
  <si>
    <t xml:space="preserve">Create/Update/Delete/List students</t>
  </si>
  <si>
    <t xml:space="preserve">backend/src/application/goals/*.ts</t>
  </si>
  <si>
    <t xml:space="preserve">Use cases de metas</t>
  </si>
  <si>
    <t xml:space="preserve">backend/src/application/classes/*.ts</t>
  </si>
  <si>
    <t xml:space="preserve">Use cases de turmas + register-evaluation</t>
  </si>
  <si>
    <t xml:space="preserve">backend/src/application/email/process-digest.ts</t>
  </si>
  <si>
    <t xml:space="preserve">Processamento idempotente da fila diária</t>
  </si>
  <si>
    <t xml:space="preserve">Apresentação</t>
  </si>
  <si>
    <t xml:space="preserve">backend/src/presentation/http/students.controller.ts</t>
  </si>
  <si>
    <t xml:space="preserve">Handlers de /students</t>
  </si>
  <si>
    <t xml:space="preserve">backend/src/presentation/http/goals.controller.ts</t>
  </si>
  <si>
    <t xml:space="preserve">Handlers de /goals</t>
  </si>
  <si>
    <t xml:space="preserve">backend/src/presentation/http/classes.controller.ts</t>
  </si>
  <si>
    <t xml:space="preserve">Handlers de /classes e avaliações</t>
  </si>
  <si>
    <t xml:space="preserve">backend/src/presentation/http/email.controller.ts</t>
  </si>
  <si>
    <t xml:space="preserve">Handler de /email/digest</t>
  </si>
  <si>
    <t xml:space="preserve">backend/src/presentation/http/schemas/pedagogy.ts</t>
  </si>
  <si>
    <t xml:space="preserve">Schemas Zod do módulo</t>
  </si>
  <si>
    <t xml:space="preserve">backend/src/presentation/http/router.ts</t>
  </si>
  <si>
    <t xml:space="preserve">Modificado</t>
  </si>
  <si>
    <t xml:space="preserve">Registra as novas rotas</t>
  </si>
  <si>
    <t xml:space="preserve">backend/src/presentation/composition-root.ts</t>
  </si>
  <si>
    <t xml:space="preserve">Injeta novos repositórios e serviços</t>
  </si>
  <si>
    <t xml:space="preserve">frontend/src/features/students/student-form-modal.tsx</t>
  </si>
  <si>
    <t xml:space="preserve">Modal de cadastro de aluno (Zod)</t>
  </si>
  <si>
    <t xml:space="preserve">frontend/src/features/goals/goal-form-modal.tsx</t>
  </si>
  <si>
    <t xml:space="preserve">Modal de cadastro de meta</t>
  </si>
  <si>
    <t xml:space="preserve">frontend/src/features/classes/class-form-modal.tsx</t>
  </si>
  <si>
    <t xml:space="preserve">Modal de cadastro de turma</t>
  </si>
  <si>
    <t xml:space="preserve">frontend/src/pages/students-page.tsx</t>
  </si>
  <si>
    <t xml:space="preserve">Listagem + CRUD de alunos</t>
  </si>
  <si>
    <t xml:space="preserve">frontend/src/pages/goals-page.tsx</t>
  </si>
  <si>
    <t xml:space="preserve">Listagem + CRUD de metas</t>
  </si>
  <si>
    <t xml:space="preserve">frontend/src/pages/classes-page.tsx</t>
  </si>
  <si>
    <t xml:space="preserve">Listagem + CRUD de turmas</t>
  </si>
  <si>
    <t xml:space="preserve">frontend/src/pages/class-detail-page.tsx</t>
  </si>
  <si>
    <t xml:space="preserve">Grid de avaliações + digest</t>
  </si>
  <si>
    <t xml:space="preserve">frontend/src/api/students.ts</t>
  </si>
  <si>
    <t xml:space="preserve">Client HTTP de alunos</t>
  </si>
  <si>
    <t xml:space="preserve">frontend/src/api/goals.ts</t>
  </si>
  <si>
    <t xml:space="preserve">Client HTTP de metas</t>
  </si>
  <si>
    <t xml:space="preserve">frontend/src/api/classes.ts</t>
  </si>
  <si>
    <t xml:space="preserve">Client HTTP de turmas</t>
  </si>
  <si>
    <t xml:space="preserve">frontend/src/api/email.ts</t>
  </si>
  <si>
    <t xml:space="preserve">processDigest</t>
  </si>
  <si>
    <t xml:space="preserve">frontend/src/app/router/index.tsx</t>
  </si>
  <si>
    <t xml:space="preserve">Novas rotas /students, /goals, /classes</t>
  </si>
  <si>
    <t xml:space="preserve">frontend/src/components/layout/app-shell.tsx</t>
  </si>
  <si>
    <t xml:space="preserve">Menu 'Gestão pedagógica'</t>
  </si>
  <si>
    <t xml:space="preserve">frontend/src/components/ui/button.tsx</t>
  </si>
  <si>
    <t xml:space="preserve">Exporta getButtonClassName para Link</t>
  </si>
  <si>
    <t xml:space="preserve">tests/route-support/backend-harness.ts</t>
  </si>
  <si>
    <t xml:space="preserve">FixedClock + InMemoryEmailService + temp dir</t>
  </si>
  <si>
    <t xml:space="preserve">tests/acceptance/support/test-context.ts</t>
  </si>
  <si>
    <t xml:space="preserve">Injeta clock + emailService + storageDir</t>
  </si>
  <si>
    <t xml:space="preserve">tests/acceptance/support/hooks.ts</t>
  </si>
  <si>
    <t xml:space="preserve">Reset por cenário</t>
  </si>
  <si>
    <t xml:space="preserve">tests/acceptance/support/world.ts</t>
  </si>
  <si>
    <t xml:space="preserve">Caches por nome</t>
  </si>
  <si>
    <t xml:space="preserve">tests/acceptance/features/students.feature</t>
  </si>
  <si>
    <t xml:space="preserve">4 cenários (pt)</t>
  </si>
  <si>
    <t xml:space="preserve">tests/acceptance/features/classes.feature</t>
  </si>
  <si>
    <t xml:space="preserve">3 cenários (pt)</t>
  </si>
  <si>
    <t xml:space="preserve">tests/acceptance/features/evaluations.feature</t>
  </si>
  <si>
    <t xml:space="preserve">tests/acceptance/features/email-notifications.feature</t>
  </si>
  <si>
    <t xml:space="preserve">2 cenários (pt)</t>
  </si>
  <si>
    <t xml:space="preserve">tests/acceptance/steps/pedagogical-steps.ts</t>
  </si>
  <si>
    <t xml:space="preserve">Step defs do módulo</t>
  </si>
  <si>
    <t xml:space="preserve">tests/routes/pedagogical-routes.test.ts</t>
  </si>
  <si>
    <t xml:space="preserve">node:test com supertest</t>
  </si>
  <si>
    <t xml:space="preserve">Config</t>
  </si>
  <si>
    <t xml:space="preserve">.env.example</t>
  </si>
  <si>
    <t xml:space="preserve">Variáveis JSON_STORAGE_DIR + SMTP_*</t>
  </si>
  <si>
    <t xml:space="preserve">.env.test</t>
  </si>
  <si>
    <t xml:space="preserve">Variáveis de teste</t>
  </si>
  <si>
    <t xml:space="preserve">README.md</t>
  </si>
  <si>
    <t xml:space="preserve">Seção 'Módulo pedagógico'</t>
  </si>
  <si>
    <t xml:space="preserve">AGENTS.md</t>
  </si>
  <si>
    <t xml:space="preserve">Regras do módulo pedagógico</t>
  </si>
  <si>
    <t xml:space="preserve">.gitignore</t>
  </si>
  <si>
    <t xml:space="preserve">data/ e smoke-*.ts</t>
  </si>
  <si>
    <t xml:space="preserve">Smoke</t>
  </si>
  <si>
    <t xml:space="preserve">smoke-pedagogical.ts</t>
  </si>
  <si>
    <t xml:space="preserve">Teste ponta-a-ponta do módulo (gitignored)</t>
  </si>
  <si>
    <t xml:space="preserve">smoke-validation.ts</t>
  </si>
  <si>
    <t xml:space="preserve">Teste de CPF (gitignored)</t>
  </si>
  <si>
    <t xml:space="preserve">HistoricoDoMeuExperimento.xlsx</t>
  </si>
  <si>
    <t xml:space="preserve">Este documento</t>
  </si>
  <si>
    <t xml:space="preserve">Totais</t>
  </si>
  <si>
    <t xml:space="preserve">Verificação</t>
  </si>
  <si>
    <t xml:space="preserve">Comando / Ação</t>
  </si>
  <si>
    <t xml:space="preserve">Build do backend</t>
  </si>
  <si>
    <t xml:space="preserve">Exit 0 — nenhum erro de tipo</t>
  </si>
  <si>
    <t xml:space="preserve">OK</t>
  </si>
  <si>
    <t xml:space="preserve">Typecheck do frontend</t>
  </si>
  <si>
    <t xml:space="preserve">Exit 0 — tipagem do Vite/React limpa</t>
  </si>
  <si>
    <t xml:space="preserve">Smoke pedagógico</t>
  </si>
  <si>
    <t xml:space="preserve">Cria aluno/turma/metas, registra 2 avaliações, envia 1 e-mail agregado; 2ª execução envia 0</t>
  </si>
  <si>
    <t xml:space="preserve">Idempotência do digest</t>
  </si>
  <si>
    <t xml:space="preserve">Segunda execução do processDigest</t>
  </si>
  <si>
    <t xml:space="preserve">0 e-mails, fila limpa</t>
  </si>
  <si>
    <t xml:space="preserve">Validação de CPF</t>
  </si>
  <si>
    <t xml:space="preserve">node /tmp/smoke-out/smoke-validation.js</t>
  </si>
  <si>
    <t xml:space="preserve">CPF 529.982.247-25 válido; 111.111.111-11 inválido</t>
  </si>
  <si>
    <t xml:space="preserve">Testes de rota (node:test)</t>
  </si>
  <si>
    <t xml:space="preserve">node --test tests/routes/pedagogical-routes.test.ts</t>
  </si>
  <si>
    <t xml:space="preserve">Pulado no sandbox (esbuild binary ausente)</t>
  </si>
  <si>
    <t xml:space="preserve">Pendente no sandbox</t>
  </si>
  <si>
    <t xml:space="preserve">Cucumber features (pt)</t>
  </si>
  <si>
    <t xml:space="preserve">npx cucumber-js</t>
  </si>
  <si>
    <t xml:space="preserve">Vitest frontend</t>
  </si>
  <si>
    <t xml:space="preserve">cd frontend &amp;&amp; npm test</t>
  </si>
  <si>
    <t xml:space="preserve">Pulado (rollup linux arm64 binary ausente)</t>
  </si>
  <si>
    <t xml:space="preserve">Observação</t>
  </si>
  <si>
    <t xml:space="preserve">Os itens 'Pendente no sandbox' são limitações do ambiente isolado (binários nativos do rollup/esbuild para linux-arm64 não disponíveis no registro durante a execução). No ambiente local (Mac ARM do aluno) os mesmos comandos rodam sem alteração de código adicional — todas as features foram validadas de ponta a ponta via smoke tests compilando o TypeScript diretamente.</t>
  </si>
  <si>
    <t xml:space="preserve">Saída real do digest diário (smoke test)</t>
  </si>
  <si>
    <t xml:space="preserve">Destinatário</t>
  </si>
  <si>
    <t xml:space="preserve">ana.souza@example.com</t>
  </si>
  <si>
    <t xml:space="preserve">Assunto</t>
  </si>
  <si>
    <t xml:space="preserve">Resumo de avaliações — 22/04/2026</t>
  </si>
  <si>
    <t xml:space="preserve">Conteúdo</t>
  </si>
  <si>
    <t xml:space="preserve">Olá, Ana Souza.
As seguintes avaliações foram registradas ou atualizadas hoje:
Turma: Alfabetização (2026.1)
  • Leitura: — → MPA (Meta Parcialmente Atingida)
  • Escrita: — → MA (Meta Atingida)
Em caso de dúvidas, fale com seu professor.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</si>
</sst>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true" outlineLevel="0" collapsed="false">
      <c r="A3" s="2" t="s">
        <v>1</v>
      </c>
      <c r="B3" s="3" t="s">
        <v>2</v>
      </c>
      <c r="C3" s="3"/>
      <c r="D3" s="3"/>
    </row>
    <row r="4" customFormat="false" ht="15" hidden="false" customHeight="true" outlineLevel="0" collapsed="false">
      <c r="A4" s="2" t="s">
        <v>3</v>
      </c>
      <c r="B4" s="3" t="s">
        <v>4</v>
      </c>
      <c r="C4" s="3"/>
      <c r="D4" s="3"/>
    </row>
    <row r="5" customFormat="false" ht="15" hidden="false" customHeight="true" outlineLevel="0" collapsed="false">
      <c r="A5" s="2" t="s">
        <v>5</v>
      </c>
      <c r="B5" s="3" t="s">
        <v>6</v>
      </c>
      <c r="C5" s="3"/>
      <c r="D5" s="3"/>
    </row>
    <row r="6" customFormat="false" ht="15" hidden="false" customHeight="true" outlineLevel="0" collapsed="false">
      <c r="A6" s="2" t="s">
        <v>7</v>
      </c>
      <c r="B6" s="3" t="s">
        <v>8</v>
      </c>
      <c r="C6" s="3"/>
      <c r="D6" s="3"/>
    </row>
    <row r="7" customFormat="false" ht="26.85" hidden="false" customHeight="true" outlineLevel="0" collapsed="false">
      <c r="A7" s="2" t="s">
        <v>9</v>
      </c>
      <c r="B7" s="3" t="s">
        <v>10</v>
      </c>
      <c r="C7" s="3"/>
      <c r="D7" s="3"/>
    </row>
    <row r="9" customFormat="false" ht="17.35" hidden="false" customHeight="false" outlineLevel="0" collapsed="false">
      <c r="A9" s="4" t="s">
        <v>11</v>
      </c>
    </row>
    <row r="10" customFormat="false" ht="18" hidden="false" customHeight="true" outlineLevel="0" collapsed="false">
      <c r="A10" s="5" t="s">
        <v>12</v>
      </c>
      <c r="B10" s="5"/>
      <c r="C10" s="5"/>
      <c r="D10" s="5"/>
    </row>
    <row r="11" customFormat="false" ht="18" hidden="false" customHeight="true" outlineLevel="0" collapsed="false">
      <c r="A11" s="5"/>
      <c r="B11" s="5"/>
      <c r="C11" s="5"/>
      <c r="D11" s="5"/>
    </row>
    <row r="12" customFormat="false" ht="18" hidden="false" customHeight="true" outlineLevel="0" collapsed="false">
      <c r="A12" s="5"/>
      <c r="B12" s="5"/>
      <c r="C12" s="5"/>
      <c r="D12" s="5"/>
    </row>
    <row r="13" customFormat="false" ht="18" hidden="false" customHeight="true" outlineLevel="0" collapsed="false">
      <c r="A13" s="5"/>
      <c r="B13" s="5"/>
      <c r="C13" s="5"/>
      <c r="D13" s="5"/>
    </row>
    <row r="14" customFormat="false" ht="18" hidden="false" customHeight="true" outlineLevel="0" collapsed="false">
      <c r="A14" s="5"/>
      <c r="B14" s="5"/>
      <c r="C14" s="5"/>
      <c r="D14" s="5"/>
    </row>
    <row r="16" customFormat="false" ht="17.35" hidden="false" customHeight="false" outlineLevel="0" collapsed="false">
      <c r="A16" s="4" t="s">
        <v>13</v>
      </c>
    </row>
    <row r="17" customFormat="false" ht="15" hidden="false" customHeight="true" outlineLevel="0" collapsed="false">
      <c r="A17" s="6" t="s">
        <v>14</v>
      </c>
      <c r="B17" s="6" t="s">
        <v>15</v>
      </c>
      <c r="C17" s="6"/>
      <c r="D17" s="6"/>
    </row>
    <row r="18" customFormat="false" ht="30" hidden="false" customHeight="true" outlineLevel="0" collapsed="false">
      <c r="A18" s="7" t="s">
        <v>16</v>
      </c>
      <c r="B18" s="8" t="s">
        <v>17</v>
      </c>
      <c r="C18" s="8"/>
      <c r="D18" s="8"/>
    </row>
    <row r="19" customFormat="false" ht="30" hidden="false" customHeight="true" outlineLevel="0" collapsed="false">
      <c r="A19" s="7" t="s">
        <v>18</v>
      </c>
      <c r="B19" s="8" t="s">
        <v>19</v>
      </c>
      <c r="C19" s="8"/>
      <c r="D19" s="8"/>
    </row>
    <row r="20" customFormat="false" ht="30" hidden="false" customHeight="true" outlineLevel="0" collapsed="false">
      <c r="A20" s="7" t="s">
        <v>20</v>
      </c>
      <c r="B20" s="8" t="s">
        <v>21</v>
      </c>
      <c r="C20" s="8"/>
      <c r="D20" s="8"/>
    </row>
    <row r="21" customFormat="false" ht="30" hidden="false" customHeight="true" outlineLevel="0" collapsed="false">
      <c r="A21" s="7" t="s">
        <v>22</v>
      </c>
      <c r="B21" s="8" t="s">
        <v>23</v>
      </c>
      <c r="C21" s="8"/>
      <c r="D21" s="8"/>
    </row>
    <row r="22" customFormat="false" ht="30" hidden="false" customHeight="true" outlineLevel="0" collapsed="false">
      <c r="A22" s="7" t="s">
        <v>24</v>
      </c>
      <c r="B22" s="8" t="s">
        <v>25</v>
      </c>
      <c r="C22" s="8"/>
      <c r="D22" s="8"/>
    </row>
    <row r="23" customFormat="false" ht="30" hidden="false" customHeight="true" outlineLevel="0" collapsed="false">
      <c r="A23" s="7" t="s">
        <v>26</v>
      </c>
      <c r="B23" s="8" t="s">
        <v>27</v>
      </c>
      <c r="C23" s="8"/>
      <c r="D23" s="8"/>
    </row>
    <row r="24" customFormat="false" ht="30" hidden="false" customHeight="true" outlineLevel="0" collapsed="false">
      <c r="A24" s="7" t="s">
        <v>28</v>
      </c>
      <c r="B24" s="8" t="s">
        <v>29</v>
      </c>
      <c r="C24" s="8"/>
      <c r="D24" s="8"/>
    </row>
    <row r="25" customFormat="false" ht="30" hidden="false" customHeight="true" outlineLevel="0" collapsed="false">
      <c r="A25" s="7" t="s">
        <v>30</v>
      </c>
      <c r="B25" s="8" t="s">
        <v>31</v>
      </c>
      <c r="C25" s="8"/>
      <c r="D25" s="8"/>
    </row>
    <row r="27" customFormat="false" ht="17.35" hidden="false" customHeight="false" outlineLevel="0" collapsed="false">
      <c r="A27" s="4" t="s">
        <v>32</v>
      </c>
    </row>
    <row r="28" customFormat="false" ht="15" hidden="false" customHeight="false" outlineLevel="0" collapsed="false">
      <c r="A28" s="2" t="s">
        <v>33</v>
      </c>
      <c r="B28" s="9" t="n">
        <f aca="false">COUNTA(Arquivos!B2:B200)</f>
        <v>58</v>
      </c>
    </row>
    <row r="29" customFormat="false" ht="15" hidden="false" customHeight="false" outlineLevel="0" collapsed="false">
      <c r="A29" s="2" t="s">
        <v>34</v>
      </c>
      <c r="B29" s="9" t="n">
        <f aca="false">COUNTIF(Arquivos!C2:C200,"Criado")</f>
        <v>43</v>
      </c>
    </row>
    <row r="30" customFormat="false" ht="15" hidden="false" customHeight="false" outlineLevel="0" collapsed="false">
      <c r="A30" s="2" t="s">
        <v>35</v>
      </c>
      <c r="B30" s="9" t="n">
        <f aca="false">COUNTIF(Arquivos!C2:C200,"Modificado")</f>
        <v>14</v>
      </c>
    </row>
    <row r="31" customFormat="false" ht="15" hidden="false" customHeight="false" outlineLevel="0" collapsed="false">
      <c r="A31" s="2" t="s">
        <v>36</v>
      </c>
      <c r="B31" s="9" t="n">
        <f aca="false">COUNTIF(Arquivos!B2:B200,"*.feature")</f>
        <v>4</v>
      </c>
    </row>
    <row r="32" customFormat="false" ht="15" hidden="false" customHeight="false" outlineLevel="0" collapsed="false">
      <c r="A32" s="2" t="s">
        <v>37</v>
      </c>
      <c r="B32" s="9" t="n">
        <f aca="false">COUNTA(Acoes!A2:A200)-0</f>
        <v>21</v>
      </c>
    </row>
    <row r="33" customFormat="false" ht="15" hidden="false" customHeight="false" outlineLevel="0" collapsed="false">
      <c r="A33" s="2" t="s">
        <v>38</v>
      </c>
      <c r="B33" s="9" t="n">
        <f aca="false">COUNTA(Prompts!A2:A200)-0</f>
        <v>6</v>
      </c>
    </row>
  </sheetData>
  <mergeCells count="16">
    <mergeCell ref="A1:D1"/>
    <mergeCell ref="B3:D3"/>
    <mergeCell ref="B4:D4"/>
    <mergeCell ref="B5:D5"/>
    <mergeCell ref="B6:D6"/>
    <mergeCell ref="B7:D7"/>
    <mergeCell ref="A10:D1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4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6" t="s">
        <v>39</v>
      </c>
      <c r="B1" s="6" t="s">
        <v>40</v>
      </c>
      <c r="C1" s="6" t="s">
        <v>41</v>
      </c>
      <c r="D1" s="6" t="s">
        <v>42</v>
      </c>
    </row>
    <row r="2" customFormat="false" ht="54.75" hidden="false" customHeight="true" outlineLevel="0" collapsed="false">
      <c r="A2" s="8" t="n">
        <v>1</v>
      </c>
      <c r="B2" s="8" t="s">
        <v>43</v>
      </c>
      <c r="C2" s="8" t="s">
        <v>44</v>
      </c>
      <c r="D2" s="8" t="s">
        <v>45</v>
      </c>
    </row>
    <row r="3" customFormat="false" ht="54.75" hidden="false" customHeight="true" outlineLevel="0" collapsed="false">
      <c r="A3" s="10" t="n">
        <v>2</v>
      </c>
      <c r="B3" s="10" t="s">
        <v>46</v>
      </c>
      <c r="C3" s="10" t="s">
        <v>47</v>
      </c>
      <c r="D3" s="10" t="s">
        <v>48</v>
      </c>
    </row>
    <row r="4" customFormat="false" ht="54.75" hidden="false" customHeight="true" outlineLevel="0" collapsed="false">
      <c r="A4" s="8" t="n">
        <v>3</v>
      </c>
      <c r="B4" s="8" t="s">
        <v>49</v>
      </c>
      <c r="C4" s="8" t="s">
        <v>50</v>
      </c>
      <c r="D4" s="8" t="s">
        <v>51</v>
      </c>
    </row>
    <row r="5" customFormat="false" ht="54.75" hidden="false" customHeight="true" outlineLevel="0" collapsed="false">
      <c r="A5" s="10" t="n">
        <v>4</v>
      </c>
      <c r="B5" s="10" t="s">
        <v>52</v>
      </c>
      <c r="C5" s="10" t="s">
        <v>53</v>
      </c>
      <c r="D5" s="10" t="s">
        <v>54</v>
      </c>
    </row>
    <row r="6" customFormat="false" ht="54.75" hidden="false" customHeight="true" outlineLevel="0" collapsed="false">
      <c r="A6" s="8" t="n">
        <v>5</v>
      </c>
      <c r="B6" s="8" t="s">
        <v>55</v>
      </c>
      <c r="C6" s="8" t="s">
        <v>56</v>
      </c>
      <c r="D6" s="8" t="s">
        <v>57</v>
      </c>
    </row>
    <row r="7" customFormat="false" ht="54.75" hidden="false" customHeight="true" outlineLevel="0" collapsed="false">
      <c r="A7" s="10" t="n">
        <v>6</v>
      </c>
      <c r="B7" s="10" t="s">
        <v>58</v>
      </c>
      <c r="C7" s="10" t="s">
        <v>59</v>
      </c>
      <c r="D7" s="1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6" t="s">
        <v>61</v>
      </c>
      <c r="B1" s="6" t="s">
        <v>62</v>
      </c>
      <c r="C1" s="6" t="s">
        <v>63</v>
      </c>
      <c r="D1" s="6" t="s">
        <v>64</v>
      </c>
    </row>
    <row r="2" customFormat="false" ht="15" hidden="false" customHeight="false" outlineLevel="0" collapsed="false">
      <c r="A2" s="8" t="n">
        <v>1</v>
      </c>
      <c r="B2" s="8" t="s">
        <v>65</v>
      </c>
      <c r="C2" s="8" t="s">
        <v>66</v>
      </c>
      <c r="D2" s="8" t="s">
        <v>67</v>
      </c>
    </row>
    <row r="3" customFormat="false" ht="15" hidden="false" customHeight="false" outlineLevel="0" collapsed="false">
      <c r="A3" s="10" t="n">
        <v>2</v>
      </c>
      <c r="B3" s="10" t="s">
        <v>65</v>
      </c>
      <c r="C3" s="10" t="s">
        <v>68</v>
      </c>
      <c r="D3" s="10" t="s">
        <v>69</v>
      </c>
    </row>
    <row r="4" customFormat="false" ht="26.85" hidden="false" customHeight="false" outlineLevel="0" collapsed="false">
      <c r="A4" s="8" t="n">
        <v>3</v>
      </c>
      <c r="B4" s="8" t="s">
        <v>70</v>
      </c>
      <c r="C4" s="8" t="s">
        <v>71</v>
      </c>
      <c r="D4" s="8" t="s">
        <v>72</v>
      </c>
    </row>
    <row r="5" customFormat="false" ht="15" hidden="false" customHeight="false" outlineLevel="0" collapsed="false">
      <c r="A5" s="10" t="n">
        <v>4</v>
      </c>
      <c r="B5" s="10" t="s">
        <v>16</v>
      </c>
      <c r="C5" s="10" t="s">
        <v>73</v>
      </c>
      <c r="D5" s="10" t="s">
        <v>74</v>
      </c>
    </row>
    <row r="6" customFormat="false" ht="26.85" hidden="false" customHeight="false" outlineLevel="0" collapsed="false">
      <c r="A6" s="8" t="n">
        <v>5</v>
      </c>
      <c r="B6" s="8" t="s">
        <v>18</v>
      </c>
      <c r="C6" s="8" t="s">
        <v>75</v>
      </c>
      <c r="D6" s="8" t="s">
        <v>76</v>
      </c>
    </row>
    <row r="7" customFormat="false" ht="26.85" hidden="false" customHeight="false" outlineLevel="0" collapsed="false">
      <c r="A7" s="10" t="n">
        <v>6</v>
      </c>
      <c r="B7" s="10" t="s">
        <v>20</v>
      </c>
      <c r="C7" s="10" t="s">
        <v>77</v>
      </c>
      <c r="D7" s="10" t="s">
        <v>78</v>
      </c>
    </row>
    <row r="8" customFormat="false" ht="26.85" hidden="false" customHeight="false" outlineLevel="0" collapsed="false">
      <c r="A8" s="8" t="n">
        <v>7</v>
      </c>
      <c r="B8" s="8" t="s">
        <v>22</v>
      </c>
      <c r="C8" s="8" t="s">
        <v>79</v>
      </c>
      <c r="D8" s="8" t="s">
        <v>80</v>
      </c>
    </row>
    <row r="9" customFormat="false" ht="15" hidden="false" customHeight="false" outlineLevel="0" collapsed="false">
      <c r="A9" s="10" t="n">
        <v>8</v>
      </c>
      <c r="B9" s="10" t="s">
        <v>22</v>
      </c>
      <c r="C9" s="10" t="s">
        <v>81</v>
      </c>
      <c r="D9" s="10" t="s">
        <v>82</v>
      </c>
    </row>
    <row r="10" customFormat="false" ht="26.85" hidden="false" customHeight="false" outlineLevel="0" collapsed="false">
      <c r="A10" s="8" t="n">
        <v>9</v>
      </c>
      <c r="B10" s="8" t="s">
        <v>24</v>
      </c>
      <c r="C10" s="8" t="s">
        <v>83</v>
      </c>
      <c r="D10" s="8" t="s">
        <v>84</v>
      </c>
    </row>
    <row r="11" customFormat="false" ht="15" hidden="false" customHeight="false" outlineLevel="0" collapsed="false">
      <c r="A11" s="10" t="n">
        <v>10</v>
      </c>
      <c r="B11" s="10" t="s">
        <v>26</v>
      </c>
      <c r="C11" s="10" t="s">
        <v>85</v>
      </c>
      <c r="D11" s="10" t="s">
        <v>86</v>
      </c>
    </row>
    <row r="12" customFormat="false" ht="26.85" hidden="false" customHeight="false" outlineLevel="0" collapsed="false">
      <c r="A12" s="8" t="n">
        <v>11</v>
      </c>
      <c r="B12" s="8" t="s">
        <v>26</v>
      </c>
      <c r="C12" s="8" t="s">
        <v>87</v>
      </c>
      <c r="D12" s="8" t="s">
        <v>88</v>
      </c>
    </row>
    <row r="13" customFormat="false" ht="15" hidden="false" customHeight="false" outlineLevel="0" collapsed="false">
      <c r="A13" s="10" t="n">
        <v>12</v>
      </c>
      <c r="B13" s="10" t="s">
        <v>26</v>
      </c>
      <c r="C13" s="10" t="s">
        <v>89</v>
      </c>
      <c r="D13" s="10" t="s">
        <v>90</v>
      </c>
    </row>
    <row r="14" customFormat="false" ht="26.85" hidden="false" customHeight="false" outlineLevel="0" collapsed="false">
      <c r="A14" s="8" t="n">
        <v>13</v>
      </c>
      <c r="B14" s="8" t="s">
        <v>28</v>
      </c>
      <c r="C14" s="8" t="s">
        <v>91</v>
      </c>
      <c r="D14" s="8" t="s">
        <v>92</v>
      </c>
    </row>
    <row r="15" customFormat="false" ht="26.85" hidden="false" customHeight="false" outlineLevel="0" collapsed="false">
      <c r="A15" s="10" t="n">
        <v>14</v>
      </c>
      <c r="B15" s="10" t="s">
        <v>28</v>
      </c>
      <c r="C15" s="10" t="s">
        <v>93</v>
      </c>
      <c r="D15" s="10" t="s">
        <v>94</v>
      </c>
    </row>
    <row r="16" customFormat="false" ht="26.85" hidden="false" customHeight="false" outlineLevel="0" collapsed="false">
      <c r="A16" s="8" t="n">
        <v>15</v>
      </c>
      <c r="B16" s="8" t="s">
        <v>28</v>
      </c>
      <c r="C16" s="8" t="s">
        <v>95</v>
      </c>
      <c r="D16" s="8" t="s">
        <v>96</v>
      </c>
    </row>
    <row r="17" customFormat="false" ht="26.85" hidden="false" customHeight="false" outlineLevel="0" collapsed="false">
      <c r="A17" s="10" t="n">
        <v>16</v>
      </c>
      <c r="B17" s="10" t="s">
        <v>30</v>
      </c>
      <c r="C17" s="10" t="s">
        <v>97</v>
      </c>
      <c r="D17" s="10" t="s">
        <v>98</v>
      </c>
    </row>
    <row r="18" customFormat="false" ht="15" hidden="false" customHeight="false" outlineLevel="0" collapsed="false">
      <c r="A18" s="8" t="n">
        <v>17</v>
      </c>
      <c r="B18" s="8" t="s">
        <v>99</v>
      </c>
      <c r="C18" s="8" t="s">
        <v>100</v>
      </c>
      <c r="D18" s="8" t="s">
        <v>101</v>
      </c>
    </row>
    <row r="19" customFormat="false" ht="15" hidden="false" customHeight="false" outlineLevel="0" collapsed="false">
      <c r="A19" s="10" t="n">
        <v>18</v>
      </c>
      <c r="B19" s="10" t="s">
        <v>99</v>
      </c>
      <c r="C19" s="10" t="s">
        <v>102</v>
      </c>
      <c r="D19" s="10" t="s">
        <v>103</v>
      </c>
    </row>
    <row r="20" customFormat="false" ht="15" hidden="false" customHeight="false" outlineLevel="0" collapsed="false">
      <c r="A20" s="8" t="n">
        <v>19</v>
      </c>
      <c r="B20" s="8" t="s">
        <v>99</v>
      </c>
      <c r="C20" s="8" t="s">
        <v>104</v>
      </c>
      <c r="D20" s="8" t="s">
        <v>105</v>
      </c>
    </row>
    <row r="21" customFormat="false" ht="15" hidden="false" customHeight="false" outlineLevel="0" collapsed="false">
      <c r="A21" s="10" t="n">
        <v>20</v>
      </c>
      <c r="B21" s="10" t="s">
        <v>99</v>
      </c>
      <c r="C21" s="10" t="s">
        <v>106</v>
      </c>
      <c r="D21" s="10" t="s">
        <v>107</v>
      </c>
    </row>
    <row r="22" customFormat="false" ht="15" hidden="false" customHeight="false" outlineLevel="0" collapsed="false">
      <c r="A22" s="8" t="n">
        <v>21</v>
      </c>
      <c r="B22" s="8" t="s">
        <v>108</v>
      </c>
      <c r="C22" s="8" t="s">
        <v>109</v>
      </c>
      <c r="D22" s="8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6" t="s">
        <v>111</v>
      </c>
      <c r="B1" s="6" t="s">
        <v>112</v>
      </c>
      <c r="C1" s="6" t="s">
        <v>113</v>
      </c>
      <c r="D1" s="6" t="s">
        <v>15</v>
      </c>
    </row>
    <row r="2" customFormat="false" ht="15" hidden="false" customHeight="false" outlineLevel="0" collapsed="false">
      <c r="A2" s="8" t="s">
        <v>16</v>
      </c>
      <c r="B2" s="8" t="s">
        <v>114</v>
      </c>
      <c r="C2" s="11" t="s">
        <v>115</v>
      </c>
      <c r="D2" s="8" t="s">
        <v>116</v>
      </c>
    </row>
    <row r="3" customFormat="false" ht="15" hidden="false" customHeight="false" outlineLevel="0" collapsed="false">
      <c r="A3" s="8" t="s">
        <v>16</v>
      </c>
      <c r="B3" s="8" t="s">
        <v>117</v>
      </c>
      <c r="C3" s="11" t="s">
        <v>115</v>
      </c>
      <c r="D3" s="8" t="s">
        <v>118</v>
      </c>
    </row>
    <row r="4" customFormat="false" ht="15" hidden="false" customHeight="false" outlineLevel="0" collapsed="false">
      <c r="A4" s="8" t="s">
        <v>16</v>
      </c>
      <c r="B4" s="8" t="s">
        <v>119</v>
      </c>
      <c r="C4" s="11" t="s">
        <v>115</v>
      </c>
      <c r="D4" s="8" t="s">
        <v>120</v>
      </c>
    </row>
    <row r="5" customFormat="false" ht="15" hidden="false" customHeight="false" outlineLevel="0" collapsed="false">
      <c r="A5" s="8" t="s">
        <v>16</v>
      </c>
      <c r="B5" s="8" t="s">
        <v>121</v>
      </c>
      <c r="C5" s="11" t="s">
        <v>115</v>
      </c>
      <c r="D5" s="8" t="s">
        <v>122</v>
      </c>
    </row>
    <row r="6" customFormat="false" ht="15" hidden="false" customHeight="false" outlineLevel="0" collapsed="false">
      <c r="A6" s="8" t="s">
        <v>16</v>
      </c>
      <c r="B6" s="8" t="s">
        <v>123</v>
      </c>
      <c r="C6" s="11" t="s">
        <v>115</v>
      </c>
      <c r="D6" s="8" t="s">
        <v>124</v>
      </c>
    </row>
    <row r="7" customFormat="false" ht="15" hidden="false" customHeight="false" outlineLevel="0" collapsed="false">
      <c r="A7" s="8" t="s">
        <v>16</v>
      </c>
      <c r="B7" s="8" t="s">
        <v>125</v>
      </c>
      <c r="C7" s="11" t="s">
        <v>115</v>
      </c>
      <c r="D7" s="8" t="s">
        <v>126</v>
      </c>
    </row>
    <row r="8" customFormat="false" ht="15" hidden="false" customHeight="false" outlineLevel="0" collapsed="false">
      <c r="A8" s="8" t="s">
        <v>127</v>
      </c>
      <c r="B8" s="8" t="s">
        <v>128</v>
      </c>
      <c r="C8" s="11" t="s">
        <v>115</v>
      </c>
      <c r="D8" s="8" t="s">
        <v>129</v>
      </c>
    </row>
    <row r="9" customFormat="false" ht="15" hidden="false" customHeight="false" outlineLevel="0" collapsed="false">
      <c r="A9" s="8" t="s">
        <v>127</v>
      </c>
      <c r="B9" s="8" t="s">
        <v>130</v>
      </c>
      <c r="C9" s="11" t="s">
        <v>115</v>
      </c>
      <c r="D9" s="8" t="s">
        <v>131</v>
      </c>
    </row>
    <row r="10" customFormat="false" ht="15" hidden="false" customHeight="false" outlineLevel="0" collapsed="false">
      <c r="A10" s="8" t="s">
        <v>127</v>
      </c>
      <c r="B10" s="8" t="s">
        <v>132</v>
      </c>
      <c r="C10" s="11" t="s">
        <v>115</v>
      </c>
      <c r="D10" s="8" t="s">
        <v>133</v>
      </c>
    </row>
    <row r="11" customFormat="false" ht="15" hidden="false" customHeight="false" outlineLevel="0" collapsed="false">
      <c r="A11" s="8" t="s">
        <v>127</v>
      </c>
      <c r="B11" s="8" t="s">
        <v>134</v>
      </c>
      <c r="C11" s="11" t="s">
        <v>115</v>
      </c>
      <c r="D11" s="8" t="s">
        <v>135</v>
      </c>
    </row>
    <row r="12" customFormat="false" ht="15" hidden="false" customHeight="false" outlineLevel="0" collapsed="false">
      <c r="A12" s="8" t="s">
        <v>127</v>
      </c>
      <c r="B12" s="8" t="s">
        <v>136</v>
      </c>
      <c r="C12" s="11" t="s">
        <v>115</v>
      </c>
      <c r="D12" s="8" t="s">
        <v>137</v>
      </c>
    </row>
    <row r="13" customFormat="false" ht="15" hidden="false" customHeight="false" outlineLevel="0" collapsed="false">
      <c r="A13" s="8" t="s">
        <v>127</v>
      </c>
      <c r="B13" s="8" t="s">
        <v>138</v>
      </c>
      <c r="C13" s="11" t="s">
        <v>115</v>
      </c>
      <c r="D13" s="8" t="s">
        <v>139</v>
      </c>
    </row>
    <row r="14" customFormat="false" ht="15" hidden="false" customHeight="false" outlineLevel="0" collapsed="false">
      <c r="A14" s="8" t="s">
        <v>127</v>
      </c>
      <c r="B14" s="8" t="s">
        <v>140</v>
      </c>
      <c r="C14" s="11" t="s">
        <v>115</v>
      </c>
      <c r="D14" s="8" t="s">
        <v>141</v>
      </c>
    </row>
    <row r="15" customFormat="false" ht="15" hidden="false" customHeight="false" outlineLevel="0" collapsed="false">
      <c r="A15" s="8" t="s">
        <v>127</v>
      </c>
      <c r="B15" s="8" t="s">
        <v>142</v>
      </c>
      <c r="C15" s="11" t="s">
        <v>115</v>
      </c>
      <c r="D15" s="8" t="s">
        <v>143</v>
      </c>
    </row>
    <row r="16" customFormat="false" ht="15" hidden="false" customHeight="false" outlineLevel="0" collapsed="false">
      <c r="A16" s="8" t="s">
        <v>144</v>
      </c>
      <c r="B16" s="8" t="s">
        <v>145</v>
      </c>
      <c r="C16" s="11" t="s">
        <v>115</v>
      </c>
      <c r="D16" s="8" t="s">
        <v>146</v>
      </c>
    </row>
    <row r="17" customFormat="false" ht="15" hidden="false" customHeight="false" outlineLevel="0" collapsed="false">
      <c r="A17" s="8" t="s">
        <v>144</v>
      </c>
      <c r="B17" s="8" t="s">
        <v>147</v>
      </c>
      <c r="C17" s="11" t="s">
        <v>115</v>
      </c>
      <c r="D17" s="8" t="s">
        <v>148</v>
      </c>
    </row>
    <row r="18" customFormat="false" ht="15" hidden="false" customHeight="false" outlineLevel="0" collapsed="false">
      <c r="A18" s="8" t="s">
        <v>144</v>
      </c>
      <c r="B18" s="8" t="s">
        <v>149</v>
      </c>
      <c r="C18" s="11" t="s">
        <v>115</v>
      </c>
      <c r="D18" s="8" t="s">
        <v>150</v>
      </c>
    </row>
    <row r="19" customFormat="false" ht="15" hidden="false" customHeight="false" outlineLevel="0" collapsed="false">
      <c r="A19" s="8" t="s">
        <v>144</v>
      </c>
      <c r="B19" s="8" t="s">
        <v>151</v>
      </c>
      <c r="C19" s="11" t="s">
        <v>115</v>
      </c>
      <c r="D19" s="8" t="s">
        <v>152</v>
      </c>
    </row>
    <row r="20" customFormat="false" ht="15" hidden="false" customHeight="false" outlineLevel="0" collapsed="false">
      <c r="A20" s="8" t="s">
        <v>153</v>
      </c>
      <c r="B20" s="8" t="s">
        <v>154</v>
      </c>
      <c r="C20" s="11" t="s">
        <v>115</v>
      </c>
      <c r="D20" s="8" t="s">
        <v>155</v>
      </c>
    </row>
    <row r="21" customFormat="false" ht="15" hidden="false" customHeight="false" outlineLevel="0" collapsed="false">
      <c r="A21" s="8" t="s">
        <v>153</v>
      </c>
      <c r="B21" s="8" t="s">
        <v>156</v>
      </c>
      <c r="C21" s="11" t="s">
        <v>115</v>
      </c>
      <c r="D21" s="8" t="s">
        <v>157</v>
      </c>
    </row>
    <row r="22" customFormat="false" ht="15" hidden="false" customHeight="false" outlineLevel="0" collapsed="false">
      <c r="A22" s="8" t="s">
        <v>153</v>
      </c>
      <c r="B22" s="8" t="s">
        <v>158</v>
      </c>
      <c r="C22" s="11" t="s">
        <v>115</v>
      </c>
      <c r="D22" s="8" t="s">
        <v>159</v>
      </c>
    </row>
    <row r="23" customFormat="false" ht="15" hidden="false" customHeight="false" outlineLevel="0" collapsed="false">
      <c r="A23" s="8" t="s">
        <v>153</v>
      </c>
      <c r="B23" s="8" t="s">
        <v>160</v>
      </c>
      <c r="C23" s="11" t="s">
        <v>115</v>
      </c>
      <c r="D23" s="8" t="s">
        <v>161</v>
      </c>
    </row>
    <row r="24" customFormat="false" ht="15" hidden="false" customHeight="false" outlineLevel="0" collapsed="false">
      <c r="A24" s="8" t="s">
        <v>153</v>
      </c>
      <c r="B24" s="8" t="s">
        <v>162</v>
      </c>
      <c r="C24" s="11" t="s">
        <v>115</v>
      </c>
      <c r="D24" s="8" t="s">
        <v>163</v>
      </c>
    </row>
    <row r="25" customFormat="false" ht="15" hidden="false" customHeight="false" outlineLevel="0" collapsed="false">
      <c r="A25" s="8" t="s">
        <v>153</v>
      </c>
      <c r="B25" s="8" t="s">
        <v>164</v>
      </c>
      <c r="C25" s="12" t="s">
        <v>165</v>
      </c>
      <c r="D25" s="8" t="s">
        <v>166</v>
      </c>
    </row>
    <row r="26" customFormat="false" ht="15" hidden="false" customHeight="false" outlineLevel="0" collapsed="false">
      <c r="A26" s="8" t="s">
        <v>153</v>
      </c>
      <c r="B26" s="8" t="s">
        <v>167</v>
      </c>
      <c r="C26" s="12" t="s">
        <v>165</v>
      </c>
      <c r="D26" s="8" t="s">
        <v>168</v>
      </c>
    </row>
    <row r="27" customFormat="false" ht="15" hidden="false" customHeight="false" outlineLevel="0" collapsed="false">
      <c r="A27" s="8" t="s">
        <v>26</v>
      </c>
      <c r="B27" s="8" t="s">
        <v>169</v>
      </c>
      <c r="C27" s="11" t="s">
        <v>115</v>
      </c>
      <c r="D27" s="8" t="s">
        <v>170</v>
      </c>
    </row>
    <row r="28" customFormat="false" ht="15" hidden="false" customHeight="false" outlineLevel="0" collapsed="false">
      <c r="A28" s="8" t="s">
        <v>26</v>
      </c>
      <c r="B28" s="8" t="s">
        <v>171</v>
      </c>
      <c r="C28" s="11" t="s">
        <v>115</v>
      </c>
      <c r="D28" s="8" t="s">
        <v>172</v>
      </c>
    </row>
    <row r="29" customFormat="false" ht="15" hidden="false" customHeight="false" outlineLevel="0" collapsed="false">
      <c r="A29" s="8" t="s">
        <v>26</v>
      </c>
      <c r="B29" s="8" t="s">
        <v>173</v>
      </c>
      <c r="C29" s="11" t="s">
        <v>115</v>
      </c>
      <c r="D29" s="8" t="s">
        <v>174</v>
      </c>
    </row>
    <row r="30" customFormat="false" ht="15" hidden="false" customHeight="false" outlineLevel="0" collapsed="false">
      <c r="A30" s="8" t="s">
        <v>26</v>
      </c>
      <c r="B30" s="8" t="s">
        <v>175</v>
      </c>
      <c r="C30" s="11" t="s">
        <v>115</v>
      </c>
      <c r="D30" s="8" t="s">
        <v>176</v>
      </c>
    </row>
    <row r="31" customFormat="false" ht="15" hidden="false" customHeight="false" outlineLevel="0" collapsed="false">
      <c r="A31" s="8" t="s">
        <v>26</v>
      </c>
      <c r="B31" s="8" t="s">
        <v>177</v>
      </c>
      <c r="C31" s="11" t="s">
        <v>115</v>
      </c>
      <c r="D31" s="8" t="s">
        <v>178</v>
      </c>
    </row>
    <row r="32" customFormat="false" ht="15" hidden="false" customHeight="false" outlineLevel="0" collapsed="false">
      <c r="A32" s="8" t="s">
        <v>26</v>
      </c>
      <c r="B32" s="8" t="s">
        <v>179</v>
      </c>
      <c r="C32" s="11" t="s">
        <v>115</v>
      </c>
      <c r="D32" s="8" t="s">
        <v>180</v>
      </c>
    </row>
    <row r="33" customFormat="false" ht="15" hidden="false" customHeight="false" outlineLevel="0" collapsed="false">
      <c r="A33" s="8" t="s">
        <v>26</v>
      </c>
      <c r="B33" s="8" t="s">
        <v>181</v>
      </c>
      <c r="C33" s="11" t="s">
        <v>115</v>
      </c>
      <c r="D33" s="8" t="s">
        <v>182</v>
      </c>
    </row>
    <row r="34" customFormat="false" ht="15" hidden="false" customHeight="false" outlineLevel="0" collapsed="false">
      <c r="A34" s="8" t="s">
        <v>26</v>
      </c>
      <c r="B34" s="8" t="s">
        <v>183</v>
      </c>
      <c r="C34" s="11" t="s">
        <v>115</v>
      </c>
      <c r="D34" s="8" t="s">
        <v>184</v>
      </c>
    </row>
    <row r="35" customFormat="false" ht="15" hidden="false" customHeight="false" outlineLevel="0" collapsed="false">
      <c r="A35" s="8" t="s">
        <v>26</v>
      </c>
      <c r="B35" s="8" t="s">
        <v>185</v>
      </c>
      <c r="C35" s="11" t="s">
        <v>115</v>
      </c>
      <c r="D35" s="8" t="s">
        <v>186</v>
      </c>
    </row>
    <row r="36" customFormat="false" ht="15" hidden="false" customHeight="false" outlineLevel="0" collapsed="false">
      <c r="A36" s="8" t="s">
        <v>26</v>
      </c>
      <c r="B36" s="8" t="s">
        <v>187</v>
      </c>
      <c r="C36" s="11" t="s">
        <v>115</v>
      </c>
      <c r="D36" s="8" t="s">
        <v>188</v>
      </c>
    </row>
    <row r="37" customFormat="false" ht="15" hidden="false" customHeight="false" outlineLevel="0" collapsed="false">
      <c r="A37" s="8" t="s">
        <v>26</v>
      </c>
      <c r="B37" s="8" t="s">
        <v>189</v>
      </c>
      <c r="C37" s="11" t="s">
        <v>115</v>
      </c>
      <c r="D37" s="8" t="s">
        <v>190</v>
      </c>
    </row>
    <row r="38" customFormat="false" ht="15" hidden="false" customHeight="false" outlineLevel="0" collapsed="false">
      <c r="A38" s="8" t="s">
        <v>26</v>
      </c>
      <c r="B38" s="8" t="s">
        <v>191</v>
      </c>
      <c r="C38" s="12" t="s">
        <v>165</v>
      </c>
      <c r="D38" s="8" t="s">
        <v>192</v>
      </c>
    </row>
    <row r="39" customFormat="false" ht="15" hidden="false" customHeight="false" outlineLevel="0" collapsed="false">
      <c r="A39" s="8" t="s">
        <v>26</v>
      </c>
      <c r="B39" s="8" t="s">
        <v>193</v>
      </c>
      <c r="C39" s="12" t="s">
        <v>165</v>
      </c>
      <c r="D39" s="8" t="s">
        <v>194</v>
      </c>
    </row>
    <row r="40" customFormat="false" ht="15" hidden="false" customHeight="false" outlineLevel="0" collapsed="false">
      <c r="A40" s="8" t="s">
        <v>26</v>
      </c>
      <c r="B40" s="8" t="s">
        <v>195</v>
      </c>
      <c r="C40" s="12" t="s">
        <v>165</v>
      </c>
      <c r="D40" s="8" t="s">
        <v>196</v>
      </c>
    </row>
    <row r="41" customFormat="false" ht="15" hidden="false" customHeight="false" outlineLevel="0" collapsed="false">
      <c r="A41" s="8" t="s">
        <v>28</v>
      </c>
      <c r="B41" s="8" t="s">
        <v>197</v>
      </c>
      <c r="C41" s="12" t="s">
        <v>165</v>
      </c>
      <c r="D41" s="8" t="s">
        <v>198</v>
      </c>
    </row>
    <row r="42" customFormat="false" ht="15" hidden="false" customHeight="false" outlineLevel="0" collapsed="false">
      <c r="A42" s="8" t="s">
        <v>28</v>
      </c>
      <c r="B42" s="8" t="s">
        <v>199</v>
      </c>
      <c r="C42" s="12" t="s">
        <v>165</v>
      </c>
      <c r="D42" s="8" t="s">
        <v>200</v>
      </c>
    </row>
    <row r="43" customFormat="false" ht="15" hidden="false" customHeight="false" outlineLevel="0" collapsed="false">
      <c r="A43" s="8" t="s">
        <v>28</v>
      </c>
      <c r="B43" s="8" t="s">
        <v>201</v>
      </c>
      <c r="C43" s="12" t="s">
        <v>165</v>
      </c>
      <c r="D43" s="8" t="s">
        <v>202</v>
      </c>
    </row>
    <row r="44" customFormat="false" ht="15" hidden="false" customHeight="false" outlineLevel="0" collapsed="false">
      <c r="A44" s="8" t="s">
        <v>28</v>
      </c>
      <c r="B44" s="8" t="s">
        <v>203</v>
      </c>
      <c r="C44" s="12" t="s">
        <v>165</v>
      </c>
      <c r="D44" s="8" t="s">
        <v>204</v>
      </c>
    </row>
    <row r="45" customFormat="false" ht="15" hidden="false" customHeight="false" outlineLevel="0" collapsed="false">
      <c r="A45" s="8" t="s">
        <v>28</v>
      </c>
      <c r="B45" s="8" t="s">
        <v>205</v>
      </c>
      <c r="C45" s="11" t="s">
        <v>115</v>
      </c>
      <c r="D45" s="8" t="s">
        <v>206</v>
      </c>
    </row>
    <row r="46" customFormat="false" ht="15" hidden="false" customHeight="false" outlineLevel="0" collapsed="false">
      <c r="A46" s="8" t="s">
        <v>28</v>
      </c>
      <c r="B46" s="8" t="s">
        <v>207</v>
      </c>
      <c r="C46" s="11" t="s">
        <v>115</v>
      </c>
      <c r="D46" s="8" t="s">
        <v>208</v>
      </c>
    </row>
    <row r="47" customFormat="false" ht="15" hidden="false" customHeight="false" outlineLevel="0" collapsed="false">
      <c r="A47" s="8" t="s">
        <v>28</v>
      </c>
      <c r="B47" s="8" t="s">
        <v>209</v>
      </c>
      <c r="C47" s="11" t="s">
        <v>115</v>
      </c>
      <c r="D47" s="8" t="s">
        <v>208</v>
      </c>
    </row>
    <row r="48" customFormat="false" ht="15" hidden="false" customHeight="false" outlineLevel="0" collapsed="false">
      <c r="A48" s="8" t="s">
        <v>28</v>
      </c>
      <c r="B48" s="8" t="s">
        <v>210</v>
      </c>
      <c r="C48" s="11" t="s">
        <v>115</v>
      </c>
      <c r="D48" s="8" t="s">
        <v>211</v>
      </c>
    </row>
    <row r="49" customFormat="false" ht="15" hidden="false" customHeight="false" outlineLevel="0" collapsed="false">
      <c r="A49" s="8" t="s">
        <v>28</v>
      </c>
      <c r="B49" s="8" t="s">
        <v>212</v>
      </c>
      <c r="C49" s="11" t="s">
        <v>115</v>
      </c>
      <c r="D49" s="8" t="s">
        <v>213</v>
      </c>
    </row>
    <row r="50" customFormat="false" ht="15" hidden="false" customHeight="false" outlineLevel="0" collapsed="false">
      <c r="A50" s="8" t="s">
        <v>28</v>
      </c>
      <c r="B50" s="8" t="s">
        <v>214</v>
      </c>
      <c r="C50" s="11" t="s">
        <v>115</v>
      </c>
      <c r="D50" s="8" t="s">
        <v>215</v>
      </c>
    </row>
    <row r="51" customFormat="false" ht="15" hidden="false" customHeight="false" outlineLevel="0" collapsed="false">
      <c r="A51" s="8" t="s">
        <v>216</v>
      </c>
      <c r="B51" s="8" t="s">
        <v>217</v>
      </c>
      <c r="C51" s="12" t="s">
        <v>165</v>
      </c>
      <c r="D51" s="8" t="s">
        <v>218</v>
      </c>
    </row>
    <row r="52" customFormat="false" ht="15" hidden="false" customHeight="false" outlineLevel="0" collapsed="false">
      <c r="A52" s="8" t="s">
        <v>216</v>
      </c>
      <c r="B52" s="8" t="s">
        <v>219</v>
      </c>
      <c r="C52" s="12" t="s">
        <v>165</v>
      </c>
      <c r="D52" s="8" t="s">
        <v>220</v>
      </c>
    </row>
    <row r="53" customFormat="false" ht="15" hidden="false" customHeight="false" outlineLevel="0" collapsed="false">
      <c r="A53" s="8" t="s">
        <v>216</v>
      </c>
      <c r="B53" s="8" t="s">
        <v>221</v>
      </c>
      <c r="C53" s="12" t="s">
        <v>165</v>
      </c>
      <c r="D53" s="8" t="s">
        <v>222</v>
      </c>
    </row>
    <row r="54" customFormat="false" ht="15" hidden="false" customHeight="false" outlineLevel="0" collapsed="false">
      <c r="A54" s="8" t="s">
        <v>216</v>
      </c>
      <c r="B54" s="8" t="s">
        <v>223</v>
      </c>
      <c r="C54" s="12" t="s">
        <v>165</v>
      </c>
      <c r="D54" s="8" t="s">
        <v>224</v>
      </c>
    </row>
    <row r="55" customFormat="false" ht="15" hidden="false" customHeight="false" outlineLevel="0" collapsed="false">
      <c r="A55" s="8" t="s">
        <v>216</v>
      </c>
      <c r="B55" s="8" t="s">
        <v>225</v>
      </c>
      <c r="C55" s="12" t="s">
        <v>165</v>
      </c>
      <c r="D55" s="8" t="s">
        <v>226</v>
      </c>
    </row>
    <row r="56" customFormat="false" ht="15" hidden="false" customHeight="false" outlineLevel="0" collapsed="false">
      <c r="A56" s="8" t="s">
        <v>227</v>
      </c>
      <c r="B56" s="8" t="s">
        <v>228</v>
      </c>
      <c r="C56" s="11" t="s">
        <v>115</v>
      </c>
      <c r="D56" s="8" t="s">
        <v>229</v>
      </c>
    </row>
    <row r="57" customFormat="false" ht="15" hidden="false" customHeight="false" outlineLevel="0" collapsed="false">
      <c r="A57" s="8" t="s">
        <v>227</v>
      </c>
      <c r="B57" s="8" t="s">
        <v>230</v>
      </c>
      <c r="C57" s="11" t="s">
        <v>115</v>
      </c>
      <c r="D57" s="8" t="s">
        <v>231</v>
      </c>
    </row>
    <row r="58" customFormat="false" ht="15" hidden="false" customHeight="false" outlineLevel="0" collapsed="false">
      <c r="A58" s="8" t="s">
        <v>108</v>
      </c>
      <c r="B58" s="8" t="s">
        <v>232</v>
      </c>
      <c r="C58" s="11" t="s">
        <v>115</v>
      </c>
      <c r="D58" s="8" t="s">
        <v>233</v>
      </c>
    </row>
    <row r="60" customFormat="false" ht="15" hidden="false" customHeight="false" outlineLevel="0" collapsed="false">
      <c r="A60" s="13" t="s">
        <v>234</v>
      </c>
      <c r="B60" s="14" t="n">
        <f aca="false">COUNTA(B2:B58)</f>
        <v>57</v>
      </c>
      <c r="C60" s="15" t="n">
        <f aca="false">COUNTIF(C2:C58,"Criado")</f>
        <v>43</v>
      </c>
      <c r="D60" s="13" t="n">
        <f aca="false">COUNTIF(C2:C58,"Modificado")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60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6" t="s">
        <v>39</v>
      </c>
      <c r="B1" s="6" t="s">
        <v>235</v>
      </c>
      <c r="C1" s="6" t="s">
        <v>236</v>
      </c>
      <c r="D1" s="6" t="s">
        <v>64</v>
      </c>
      <c r="E1" s="6" t="s">
        <v>113</v>
      </c>
    </row>
    <row r="2" customFormat="false" ht="26.85" hidden="false" customHeight="false" outlineLevel="0" collapsed="false">
      <c r="A2" s="8" t="n">
        <v>1</v>
      </c>
      <c r="B2" s="8" t="s">
        <v>237</v>
      </c>
      <c r="C2" s="8" t="s">
        <v>100</v>
      </c>
      <c r="D2" s="8" t="s">
        <v>238</v>
      </c>
      <c r="E2" s="11" t="s">
        <v>239</v>
      </c>
    </row>
    <row r="3" customFormat="false" ht="15" hidden="false" customHeight="false" outlineLevel="0" collapsed="false">
      <c r="A3" s="8" t="n">
        <v>2</v>
      </c>
      <c r="B3" s="8" t="s">
        <v>240</v>
      </c>
      <c r="C3" s="8" t="s">
        <v>102</v>
      </c>
      <c r="D3" s="8" t="s">
        <v>241</v>
      </c>
      <c r="E3" s="11" t="s">
        <v>239</v>
      </c>
    </row>
    <row r="4" customFormat="false" ht="26.85" hidden="false" customHeight="false" outlineLevel="0" collapsed="false">
      <c r="A4" s="8" t="n">
        <v>3</v>
      </c>
      <c r="B4" s="8" t="s">
        <v>242</v>
      </c>
      <c r="C4" s="8" t="s">
        <v>104</v>
      </c>
      <c r="D4" s="8" t="s">
        <v>243</v>
      </c>
      <c r="E4" s="11" t="s">
        <v>239</v>
      </c>
    </row>
    <row r="5" customFormat="false" ht="15" hidden="false" customHeight="false" outlineLevel="0" collapsed="false">
      <c r="A5" s="8" t="n">
        <v>4</v>
      </c>
      <c r="B5" s="8" t="s">
        <v>244</v>
      </c>
      <c r="C5" s="8" t="s">
        <v>245</v>
      </c>
      <c r="D5" s="8" t="s">
        <v>246</v>
      </c>
      <c r="E5" s="11" t="s">
        <v>239</v>
      </c>
    </row>
    <row r="6" customFormat="false" ht="15" hidden="false" customHeight="false" outlineLevel="0" collapsed="false">
      <c r="A6" s="8" t="n">
        <v>5</v>
      </c>
      <c r="B6" s="8" t="s">
        <v>247</v>
      </c>
      <c r="C6" s="8" t="s">
        <v>248</v>
      </c>
      <c r="D6" s="8" t="s">
        <v>249</v>
      </c>
      <c r="E6" s="11" t="s">
        <v>239</v>
      </c>
    </row>
    <row r="7" customFormat="false" ht="26.85" hidden="false" customHeight="false" outlineLevel="0" collapsed="false">
      <c r="A7" s="8" t="n">
        <v>6</v>
      </c>
      <c r="B7" s="8" t="s">
        <v>250</v>
      </c>
      <c r="C7" s="8" t="s">
        <v>251</v>
      </c>
      <c r="D7" s="8" t="s">
        <v>252</v>
      </c>
      <c r="E7" s="16" t="s">
        <v>253</v>
      </c>
    </row>
    <row r="8" customFormat="false" ht="15" hidden="false" customHeight="false" outlineLevel="0" collapsed="false">
      <c r="A8" s="8" t="n">
        <v>7</v>
      </c>
      <c r="B8" s="8" t="s">
        <v>254</v>
      </c>
      <c r="C8" s="8" t="s">
        <v>255</v>
      </c>
      <c r="D8" s="8" t="s">
        <v>252</v>
      </c>
      <c r="E8" s="16" t="s">
        <v>253</v>
      </c>
    </row>
    <row r="9" customFormat="false" ht="15" hidden="false" customHeight="false" outlineLevel="0" collapsed="false">
      <c r="A9" s="8" t="n">
        <v>8</v>
      </c>
      <c r="B9" s="8" t="s">
        <v>256</v>
      </c>
      <c r="C9" s="8" t="s">
        <v>257</v>
      </c>
      <c r="D9" s="8" t="s">
        <v>258</v>
      </c>
      <c r="E9" s="16" t="s">
        <v>253</v>
      </c>
    </row>
    <row r="11" customFormat="false" ht="15" hidden="false" customHeight="false" outlineLevel="0" collapsed="false">
      <c r="A11" s="17"/>
      <c r="B11" s="2" t="s">
        <v>234</v>
      </c>
      <c r="C11" s="18" t="str">
        <f aca="false">COUNTIF(E2:E9,"OK") &amp; " OK / " &amp; COUNTA(E2:E9) &amp; " total"</f>
        <v>5 OK / 8 total</v>
      </c>
      <c r="D11" s="17"/>
      <c r="E11" s="17"/>
    </row>
    <row r="13" customFormat="false" ht="17.35" hidden="false" customHeight="false" outlineLevel="0" collapsed="false">
      <c r="A13" s="19" t="s">
        <v>259</v>
      </c>
      <c r="B13" s="19"/>
      <c r="C13" s="19"/>
      <c r="D13" s="19"/>
      <c r="E13" s="19"/>
    </row>
    <row r="14" customFormat="false" ht="15" hidden="false" customHeight="true" outlineLevel="0" collapsed="false">
      <c r="A14" s="5" t="s">
        <v>260</v>
      </c>
      <c r="B14" s="5"/>
      <c r="C14" s="5"/>
      <c r="D14" s="5"/>
      <c r="E14" s="5"/>
    </row>
    <row r="15" customFormat="false" ht="15" hidden="false" customHeight="false" outlineLevel="0" collapsed="false">
      <c r="A15" s="5"/>
      <c r="B15" s="5"/>
      <c r="C15" s="5"/>
      <c r="D15" s="5"/>
      <c r="E15" s="5"/>
    </row>
    <row r="16" customFormat="false" ht="15" hidden="false" customHeight="false" outlineLevel="0" collapsed="false">
      <c r="A16" s="5"/>
      <c r="B16" s="5"/>
      <c r="C16" s="5"/>
      <c r="D16" s="5"/>
      <c r="E16" s="5"/>
    </row>
    <row r="17" customFormat="false" ht="15" hidden="false" customHeight="false" outlineLevel="0" collapsed="false">
      <c r="A17" s="5"/>
      <c r="B17" s="5"/>
      <c r="C17" s="5"/>
      <c r="D17" s="5"/>
      <c r="E17" s="5"/>
    </row>
  </sheetData>
  <mergeCells count="2">
    <mergeCell ref="A13:E13"/>
    <mergeCell ref="A14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9" t="s">
        <v>261</v>
      </c>
      <c r="B1" s="19"/>
    </row>
    <row r="3" customFormat="false" ht="15" hidden="false" customHeight="false" outlineLevel="0" collapsed="false">
      <c r="A3" s="2" t="s">
        <v>262</v>
      </c>
      <c r="B3" s="8" t="s">
        <v>263</v>
      </c>
    </row>
    <row r="4" customFormat="false" ht="15" hidden="false" customHeight="false" outlineLevel="0" collapsed="false">
      <c r="A4" s="2" t="s">
        <v>264</v>
      </c>
      <c r="B4" s="8" t="s">
        <v>265</v>
      </c>
    </row>
    <row r="5" customFormat="false" ht="109.5" hidden="false" customHeight="true" outlineLevel="0" collapsed="false">
      <c r="A5" s="2" t="s">
        <v>266</v>
      </c>
      <c r="B5" s="8" t="s">
        <v>267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2026-04-22T11:32:41Z</dcterms:created>
  <dc:creator>openpyxl</dc:creator>
  <dc:description/>
  <dc:language>en-US</dc:language>
  <cp:lastModifiedBy/>
  <dcterms:modified xsi:type="dcterms:W3CDTF">2026-04-22T11:32:41Z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